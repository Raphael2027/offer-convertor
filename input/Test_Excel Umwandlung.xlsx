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9616080fc28e74/Dokumente/Offerten/Sofortofferten 2025/Blackroll/Sportexpress/"/>
    </mc:Choice>
  </mc:AlternateContent>
  <xr:revisionPtr revIDLastSave="69" documentId="8_{93572514-2D4A-47FF-BB7F-1885E6C51CC2}" xr6:coauthVersionLast="47" xr6:coauthVersionMax="47" xr10:uidLastSave="{67DE113E-35BC-4069-B4AC-95DCC1ED5117}"/>
  <bookViews>
    <workbookView xWindow="-108" yWindow="-108" windowWidth="23256" windowHeight="12456" xr2:uid="{84401A24-5430-4203-A97C-1F3167EA8D62}"/>
  </bookViews>
  <sheets>
    <sheet name="Einkauf_Bestell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31" i="1" s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 l="1"/>
  <c r="J31" i="1"/>
  <c r="I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</calcChain>
</file>

<file path=xl/sharedStrings.xml><?xml version="1.0" encoding="utf-8"?>
<sst xmlns="http://schemas.openxmlformats.org/spreadsheetml/2006/main" count="97" uniqueCount="85">
  <si>
    <t>Bezeichnung</t>
  </si>
  <si>
    <t>Bezeichnung 2</t>
  </si>
  <si>
    <t>Lieferant Artikelnr.</t>
  </si>
  <si>
    <t>EAN 2</t>
  </si>
  <si>
    <t>BLACKROLL Standard</t>
  </si>
  <si>
    <t>schwarz, hart</t>
  </si>
  <si>
    <t>A000389</t>
  </si>
  <si>
    <t>Blackroll Standard 45</t>
  </si>
  <si>
    <t>schwarz</t>
  </si>
  <si>
    <t>A000459</t>
  </si>
  <si>
    <t>Blackroll Slim</t>
  </si>
  <si>
    <t>A000668</t>
  </si>
  <si>
    <t>Blackroll Med</t>
  </si>
  <si>
    <t>weiss/grün</t>
  </si>
  <si>
    <t>A000390</t>
  </si>
  <si>
    <t>Blackroll Med 45</t>
  </si>
  <si>
    <t>A000460</t>
  </si>
  <si>
    <t>BLACKROLL MINI</t>
  </si>
  <si>
    <t>A000391</t>
  </si>
  <si>
    <t>BLACKROLL Mini</t>
  </si>
  <si>
    <t>Farbe: azur</t>
  </si>
  <si>
    <t>A000440</t>
  </si>
  <si>
    <t>pink</t>
  </si>
  <si>
    <t>A000412</t>
  </si>
  <si>
    <t>BLACKROLL Micro</t>
  </si>
  <si>
    <t>Farbe: schwarz</t>
  </si>
  <si>
    <t>A000730</t>
  </si>
  <si>
    <t>Farbe: Grün</t>
  </si>
  <si>
    <t>A000732</t>
  </si>
  <si>
    <t>Farbe: Pink</t>
  </si>
  <si>
    <t>A000734</t>
  </si>
  <si>
    <t>BLACKROLL Ball 08 schwarz</t>
  </si>
  <si>
    <t>schwarz, 8cm</t>
  </si>
  <si>
    <t>A000496</t>
  </si>
  <si>
    <t>Blackroll Ball 08</t>
  </si>
  <si>
    <t>grün</t>
  </si>
  <si>
    <t>A000510</t>
  </si>
  <si>
    <t>BLACKROLL Ball 08</t>
  </si>
  <si>
    <t>Farbe: pink</t>
  </si>
  <si>
    <t>A000525</t>
  </si>
  <si>
    <t>BLACKROLL Ball 12</t>
  </si>
  <si>
    <t>schwarz, 12cm</t>
  </si>
  <si>
    <t>A000497</t>
  </si>
  <si>
    <t>A000531</t>
  </si>
  <si>
    <t>BLACKROLL Duoball 08 schwarz</t>
  </si>
  <si>
    <t>A000498</t>
  </si>
  <si>
    <t>BLACKROLL Duoball 12 schwarz</t>
  </si>
  <si>
    <t>A000499</t>
  </si>
  <si>
    <t>BLACKROLL Twister</t>
  </si>
  <si>
    <t>7x5cm, schwarz</t>
  </si>
  <si>
    <t>A000500</t>
  </si>
  <si>
    <t>BLACKROLL BLACK BOX</t>
  </si>
  <si>
    <t>Standard, Ball, Mini, Duoball, DVD</t>
  </si>
  <si>
    <t>A000443</t>
  </si>
  <si>
    <t>BLACKROLL Trigger Box Twister</t>
  </si>
  <si>
    <t>A002576</t>
  </si>
  <si>
    <t>Blackroll Loop Blau</t>
  </si>
  <si>
    <t>blau</t>
  </si>
  <si>
    <t>A001030</t>
  </si>
  <si>
    <t>Blackroll Loop Medium</t>
  </si>
  <si>
    <t>A001031</t>
  </si>
  <si>
    <t>Blackroll Loop Light</t>
  </si>
  <si>
    <t>orange</t>
  </si>
  <si>
    <t>A001032</t>
  </si>
  <si>
    <t>Blackroll Fitnessband Resist Band</t>
  </si>
  <si>
    <t>sehr hart, schwarz</t>
  </si>
  <si>
    <t>A001034</t>
  </si>
  <si>
    <t>BLACKROLL Massage Pistole Fascia Gun</t>
  </si>
  <si>
    <t>Massagepistole, schwarz</t>
  </si>
  <si>
    <t>A002840</t>
  </si>
  <si>
    <t>Blackroll Recovery Pillow</t>
  </si>
  <si>
    <t>weiss 33.8 x 13.4cm</t>
  </si>
  <si>
    <t>A001168</t>
  </si>
  <si>
    <t>BLACKROLL Pillow Case Climate</t>
  </si>
  <si>
    <t>weiss</t>
  </si>
  <si>
    <t>A001519</t>
  </si>
  <si>
    <t>BLACKROLL Gymnastik Matte</t>
  </si>
  <si>
    <t>Schwarz</t>
  </si>
  <si>
    <t>A000094</t>
  </si>
  <si>
    <t>EK</t>
  </si>
  <si>
    <t>EK AMP</t>
  </si>
  <si>
    <t>K00408</t>
  </si>
  <si>
    <t>AMP Stock</t>
  </si>
  <si>
    <t>Total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</si>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</sst>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0" fontId="16" fillId="33" borderId="0" xfId="0" applyFont="1" applyFill="1"/>
    <xf numFmtId="1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164" fontId="0" fillId="0" borderId="0" xfId="42" applyFont="1"/>
    <xf numFmtId="1" fontId="0" fillId="0" borderId="0" xfId="42" applyNumberFormat="1" applyFont="1"/>
    <xf numFmtId="1" fontId="0" fillId="34" borderId="0" xfId="42" applyNumberFormat="1" applyFont="1" applyFill="1"/>
    <xf numFmtId="0" fontId="0" fillId="0" borderId="0" xfId="0" applyAlignment="1">
      <alignment horizontal="left" indent="2"/>
    </xf>
    <xf numFmtId="0" fontId="16" fillId="0" borderId="0" xfId="0" applyFo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ährung" xfId="42" builtinId="4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D65B-2693-42AE-930F-0B0E73D84DD5}">
  <dimension ref="A1:J31"/>
  <sheetViews>
    <sheetView tabSelected="1" workbookViewId="0">
      <selection activeCell="G2" sqref="G2"/>
    </sheetView>
  </sheetViews>
  <sheetFormatPr baseColWidth="10" defaultRowHeight="14.4" x14ac:dyDescent="0.3"/>
  <cols>
    <col min="1" max="1" width="36.33203125" bestFit="1" customWidth="1"/>
    <col min="2" max="2" width="31.5546875" bestFit="1" customWidth="1"/>
    <col min="3" max="3" width="17.109375" bestFit="1" customWidth="1"/>
    <col min="4" max="4" width="14" style="1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3" t="s">
        <v>3</v>
      </c>
      <c r="E1" s="4" t="s">
        <v>79</v>
      </c>
      <c r="F1" s="4" t="s">
        <v>80</v>
      </c>
      <c r="G1" s="4" t="s">
        <v>84</v>
      </c>
      <c r="H1" s="4" t="s">
        <v>83</v>
      </c>
      <c r="I1" s="4" t="s">
        <v>81</v>
      </c>
      <c r="J1" s="4" t="s">
        <v>82</v>
      </c>
    </row>
    <row r="2" spans="1:10" x14ac:dyDescent="0.3">
      <c r="A2" t="s">
        <v>4</v>
      </c>
      <c r="B2" t="s">
        <v>5</v>
      </c>
      <c r="C2" t="s">
        <v>6</v>
      </c>
      <c r="D2" s="1">
        <v>4260346270000</v>
      </c>
      <c r="E2" s="5">
        <v>14.9</v>
      </c>
      <c r="F2" s="5">
        <f>E2*1.1</f>
        <v>16.39</v>
      </c>
      <c r="G2" s="5">
        <v>29.9</v>
      </c>
      <c r="H2" s="7">
        <f>I2+J2</f>
        <v>320</v>
      </c>
      <c r="I2">
        <v>120</v>
      </c>
      <c r="J2" s="6">
        <v>200</v>
      </c>
    </row>
    <row r="3" spans="1:10" x14ac:dyDescent="0.3">
      <c r="A3" t="s">
        <v>7</v>
      </c>
      <c r="B3" t="s">
        <v>8</v>
      </c>
      <c r="C3" t="s">
        <v>9</v>
      </c>
      <c r="D3" s="1">
        <v>4260346270864</v>
      </c>
      <c r="E3" s="5">
        <v>20.5</v>
      </c>
      <c r="F3" s="5">
        <f t="shared" ref="F3:F30" si="0">E3*1.1</f>
        <v>22.55</v>
      </c>
      <c r="G3" s="5">
        <v>39.9</v>
      </c>
      <c r="H3" s="7">
        <f t="shared" ref="H3:H30" si="1">I3+J3</f>
        <v>80</v>
      </c>
      <c r="I3">
        <v>0</v>
      </c>
      <c r="J3" s="6">
        <v>80</v>
      </c>
    </row>
    <row r="4" spans="1:10" x14ac:dyDescent="0.3">
      <c r="A4" t="s">
        <v>10</v>
      </c>
      <c r="B4" t="s">
        <v>8</v>
      </c>
      <c r="C4" t="s">
        <v>11</v>
      </c>
      <c r="D4" s="1">
        <v>4260346271915</v>
      </c>
      <c r="E4" s="5">
        <v>12.9</v>
      </c>
      <c r="F4" s="5">
        <f t="shared" si="0"/>
        <v>14.190000000000001</v>
      </c>
      <c r="G4" s="5">
        <v>24.9</v>
      </c>
      <c r="H4" s="7">
        <f t="shared" si="1"/>
        <v>120</v>
      </c>
      <c r="I4">
        <v>90</v>
      </c>
      <c r="J4" s="1">
        <v>30</v>
      </c>
    </row>
    <row r="5" spans="1:10" x14ac:dyDescent="0.3">
      <c r="A5" t="s">
        <v>12</v>
      </c>
      <c r="B5" t="s">
        <v>13</v>
      </c>
      <c r="C5" t="s">
        <v>14</v>
      </c>
      <c r="D5" s="1">
        <v>4260346270284</v>
      </c>
      <c r="E5" s="5">
        <v>15.9</v>
      </c>
      <c r="F5" s="5">
        <f t="shared" si="0"/>
        <v>17.490000000000002</v>
      </c>
      <c r="G5" s="5">
        <v>31.9</v>
      </c>
      <c r="H5" s="7">
        <f t="shared" si="1"/>
        <v>90</v>
      </c>
      <c r="I5">
        <v>60</v>
      </c>
      <c r="J5" s="1">
        <v>30</v>
      </c>
    </row>
    <row r="6" spans="1:10" x14ac:dyDescent="0.3">
      <c r="A6" t="s">
        <v>15</v>
      </c>
      <c r="B6" t="s">
        <v>13</v>
      </c>
      <c r="C6" t="s">
        <v>16</v>
      </c>
      <c r="D6" s="1">
        <v>4260346270871</v>
      </c>
      <c r="E6" s="5">
        <v>21.5</v>
      </c>
      <c r="F6" s="5">
        <f t="shared" si="0"/>
        <v>23.650000000000002</v>
      </c>
      <c r="G6" s="5">
        <v>42.9</v>
      </c>
      <c r="H6" s="7">
        <f t="shared" si="1"/>
        <v>60</v>
      </c>
      <c r="I6">
        <v>30</v>
      </c>
      <c r="J6" s="1">
        <v>30</v>
      </c>
    </row>
    <row r="7" spans="1:10" x14ac:dyDescent="0.3">
      <c r="A7" t="s">
        <v>17</v>
      </c>
      <c r="B7" t="s">
        <v>8</v>
      </c>
      <c r="C7" t="s">
        <v>18</v>
      </c>
      <c r="D7" s="1">
        <v>4260346270154</v>
      </c>
      <c r="E7" s="5">
        <v>5.15</v>
      </c>
      <c r="F7" s="5">
        <f t="shared" si="0"/>
        <v>5.6650000000000009</v>
      </c>
      <c r="G7" s="5">
        <v>10.9</v>
      </c>
      <c r="H7" s="7">
        <f t="shared" si="1"/>
        <v>50</v>
      </c>
      <c r="I7">
        <v>0</v>
      </c>
      <c r="J7" s="1">
        <v>50</v>
      </c>
    </row>
    <row r="8" spans="1:10" x14ac:dyDescent="0.3">
      <c r="A8" t="s">
        <v>19</v>
      </c>
      <c r="B8" t="s">
        <v>20</v>
      </c>
      <c r="C8" t="s">
        <v>21</v>
      </c>
      <c r="D8" s="1">
        <v>4260346270413</v>
      </c>
      <c r="E8" s="5">
        <v>5.4</v>
      </c>
      <c r="F8" s="5">
        <f t="shared" si="0"/>
        <v>5.9400000000000013</v>
      </c>
      <c r="G8" s="5">
        <v>10.9</v>
      </c>
      <c r="H8" s="7">
        <f t="shared" si="1"/>
        <v>120</v>
      </c>
      <c r="I8">
        <v>90</v>
      </c>
      <c r="J8" s="1">
        <v>30</v>
      </c>
    </row>
    <row r="9" spans="1:10" x14ac:dyDescent="0.3">
      <c r="A9" t="s">
        <v>19</v>
      </c>
      <c r="B9" t="s">
        <v>22</v>
      </c>
      <c r="C9" t="s">
        <v>23</v>
      </c>
      <c r="D9" s="1">
        <v>4260346270239</v>
      </c>
      <c r="E9" s="5">
        <v>5.4</v>
      </c>
      <c r="F9" s="5">
        <f t="shared" si="0"/>
        <v>5.9400000000000013</v>
      </c>
      <c r="G9" s="5">
        <v>10.9</v>
      </c>
      <c r="H9" s="7">
        <f t="shared" si="1"/>
        <v>75</v>
      </c>
      <c r="I9">
        <v>60</v>
      </c>
      <c r="J9" s="1">
        <v>15</v>
      </c>
    </row>
    <row r="10" spans="1:10" x14ac:dyDescent="0.3">
      <c r="A10" t="s">
        <v>24</v>
      </c>
      <c r="B10" t="s">
        <v>25</v>
      </c>
      <c r="C10" t="s">
        <v>26</v>
      </c>
      <c r="D10" s="1">
        <v>4260346272004</v>
      </c>
      <c r="E10" s="5">
        <v>3.5</v>
      </c>
      <c r="F10" s="5">
        <f t="shared" si="0"/>
        <v>3.8500000000000005</v>
      </c>
      <c r="G10" s="5">
        <v>6.9</v>
      </c>
      <c r="H10" s="7">
        <f t="shared" si="1"/>
        <v>30</v>
      </c>
      <c r="I10">
        <v>20</v>
      </c>
      <c r="J10" s="1">
        <v>10</v>
      </c>
    </row>
    <row r="11" spans="1:10" x14ac:dyDescent="0.3">
      <c r="A11" t="s">
        <v>24</v>
      </c>
      <c r="B11" t="s">
        <v>27</v>
      </c>
      <c r="C11" t="s">
        <v>28</v>
      </c>
      <c r="D11" s="1">
        <v>4260346272103</v>
      </c>
      <c r="E11" s="5">
        <v>3.5</v>
      </c>
      <c r="F11" s="5">
        <f t="shared" si="0"/>
        <v>3.8500000000000005</v>
      </c>
      <c r="G11" s="5">
        <v>6.9</v>
      </c>
      <c r="H11" s="7">
        <f t="shared" si="1"/>
        <v>45</v>
      </c>
      <c r="I11">
        <v>30</v>
      </c>
      <c r="J11" s="1">
        <v>15</v>
      </c>
    </row>
    <row r="12" spans="1:10" x14ac:dyDescent="0.3">
      <c r="A12" t="s">
        <v>24</v>
      </c>
      <c r="B12" t="s">
        <v>29</v>
      </c>
      <c r="C12" t="s">
        <v>30</v>
      </c>
      <c r="D12" s="1">
        <v>4260346272110</v>
      </c>
      <c r="E12" s="5">
        <v>3.5</v>
      </c>
      <c r="F12" s="5">
        <f t="shared" si="0"/>
        <v>3.8500000000000005</v>
      </c>
      <c r="G12" s="5">
        <v>6.9</v>
      </c>
      <c r="H12" s="7">
        <f t="shared" si="1"/>
        <v>45</v>
      </c>
      <c r="I12">
        <v>30</v>
      </c>
      <c r="J12" s="1">
        <v>15</v>
      </c>
    </row>
    <row r="13" spans="1:10" x14ac:dyDescent="0.3">
      <c r="A13" t="s">
        <v>31</v>
      </c>
      <c r="B13" t="s">
        <v>32</v>
      </c>
      <c r="C13" t="s">
        <v>33</v>
      </c>
      <c r="D13" s="1">
        <v>4260346270116</v>
      </c>
      <c r="E13" s="5">
        <v>5.15</v>
      </c>
      <c r="F13" s="5">
        <f t="shared" si="0"/>
        <v>5.6650000000000009</v>
      </c>
      <c r="G13" s="5">
        <v>10.9</v>
      </c>
      <c r="H13" s="7">
        <f t="shared" si="1"/>
        <v>40</v>
      </c>
      <c r="I13">
        <v>15</v>
      </c>
      <c r="J13" s="1">
        <v>25</v>
      </c>
    </row>
    <row r="14" spans="1:10" x14ac:dyDescent="0.3">
      <c r="A14" t="s">
        <v>34</v>
      </c>
      <c r="B14" t="s">
        <v>35</v>
      </c>
      <c r="C14" t="s">
        <v>36</v>
      </c>
      <c r="D14" s="1">
        <v>4260346270666</v>
      </c>
      <c r="E14" s="5">
        <v>5.75</v>
      </c>
      <c r="F14" s="5">
        <f t="shared" si="0"/>
        <v>6.3250000000000002</v>
      </c>
      <c r="G14" s="5">
        <v>10.9</v>
      </c>
      <c r="H14" s="7">
        <f t="shared" si="1"/>
        <v>56</v>
      </c>
      <c r="I14">
        <v>36</v>
      </c>
      <c r="J14" s="1">
        <v>20</v>
      </c>
    </row>
    <row r="15" spans="1:10" x14ac:dyDescent="0.3">
      <c r="A15" t="s">
        <v>37</v>
      </c>
      <c r="B15" t="s">
        <v>38</v>
      </c>
      <c r="C15" t="s">
        <v>39</v>
      </c>
      <c r="D15" s="1">
        <v>4260346270505</v>
      </c>
      <c r="E15" s="5">
        <v>5.75</v>
      </c>
      <c r="F15" s="5">
        <f t="shared" si="0"/>
        <v>6.3250000000000002</v>
      </c>
      <c r="G15" s="5">
        <v>10.9</v>
      </c>
      <c r="H15" s="7">
        <f t="shared" si="1"/>
        <v>90</v>
      </c>
      <c r="I15">
        <v>60</v>
      </c>
      <c r="J15" s="1">
        <v>30</v>
      </c>
    </row>
    <row r="16" spans="1:10" x14ac:dyDescent="0.3">
      <c r="A16" t="s">
        <v>40</v>
      </c>
      <c r="B16" t="s">
        <v>41</v>
      </c>
      <c r="C16" t="s">
        <v>42</v>
      </c>
      <c r="D16" s="1">
        <v>4260346270109</v>
      </c>
      <c r="E16" s="5">
        <v>6.65</v>
      </c>
      <c r="F16" s="5">
        <f t="shared" si="0"/>
        <v>7.3150000000000013</v>
      </c>
      <c r="G16" s="5">
        <v>13.9</v>
      </c>
      <c r="H16" s="7">
        <f t="shared" si="1"/>
        <v>35</v>
      </c>
      <c r="I16">
        <v>15</v>
      </c>
      <c r="J16" s="1">
        <v>20</v>
      </c>
    </row>
    <row r="17" spans="1:10" x14ac:dyDescent="0.3">
      <c r="A17" t="s">
        <v>40</v>
      </c>
      <c r="B17" t="s">
        <v>38</v>
      </c>
      <c r="C17" t="s">
        <v>43</v>
      </c>
      <c r="D17" s="1">
        <v>4260346270512</v>
      </c>
      <c r="E17" s="5">
        <v>7.23</v>
      </c>
      <c r="F17" s="5">
        <f t="shared" si="0"/>
        <v>7.9530000000000012</v>
      </c>
      <c r="G17" s="5">
        <v>13.9</v>
      </c>
      <c r="H17" s="7">
        <f t="shared" si="1"/>
        <v>45</v>
      </c>
      <c r="I17">
        <v>30</v>
      </c>
      <c r="J17" s="1">
        <v>15</v>
      </c>
    </row>
    <row r="18" spans="1:10" x14ac:dyDescent="0.3">
      <c r="A18" t="s">
        <v>44</v>
      </c>
      <c r="B18" t="s">
        <v>32</v>
      </c>
      <c r="C18" t="s">
        <v>45</v>
      </c>
      <c r="D18" s="1">
        <v>4260346270253</v>
      </c>
      <c r="E18" s="5">
        <v>8.98</v>
      </c>
      <c r="F18" s="5">
        <f t="shared" si="0"/>
        <v>9.8780000000000019</v>
      </c>
      <c r="G18" s="5">
        <v>18.899999999999999</v>
      </c>
      <c r="H18" s="7">
        <f t="shared" si="1"/>
        <v>120</v>
      </c>
      <c r="I18">
        <v>90</v>
      </c>
      <c r="J18" s="1">
        <v>30</v>
      </c>
    </row>
    <row r="19" spans="1:10" x14ac:dyDescent="0.3">
      <c r="A19" t="s">
        <v>46</v>
      </c>
      <c r="B19" t="s">
        <v>41</v>
      </c>
      <c r="C19" t="s">
        <v>47</v>
      </c>
      <c r="D19" s="1">
        <v>4260346270123</v>
      </c>
      <c r="E19" s="5">
        <v>12.1</v>
      </c>
      <c r="F19" s="5">
        <f t="shared" si="0"/>
        <v>13.31</v>
      </c>
      <c r="G19" s="5">
        <v>24.9</v>
      </c>
      <c r="H19" s="7">
        <f t="shared" si="1"/>
        <v>100</v>
      </c>
      <c r="I19">
        <v>60</v>
      </c>
      <c r="J19" s="1">
        <v>40</v>
      </c>
    </row>
    <row r="20" spans="1:10" x14ac:dyDescent="0.3">
      <c r="A20" t="s">
        <v>48</v>
      </c>
      <c r="B20" t="s">
        <v>49</v>
      </c>
      <c r="C20" t="s">
        <v>50</v>
      </c>
      <c r="D20" s="1">
        <v>4260346270901</v>
      </c>
      <c r="E20" s="5">
        <v>6.8</v>
      </c>
      <c r="F20" s="5">
        <f t="shared" si="0"/>
        <v>7.48</v>
      </c>
      <c r="G20" s="5">
        <v>14.9</v>
      </c>
      <c r="H20" s="7">
        <f t="shared" si="1"/>
        <v>45</v>
      </c>
      <c r="I20">
        <v>30</v>
      </c>
      <c r="J20" s="1">
        <v>15</v>
      </c>
    </row>
    <row r="21" spans="1:10" x14ac:dyDescent="0.3">
      <c r="A21" t="s">
        <v>51</v>
      </c>
      <c r="B21" t="s">
        <v>52</v>
      </c>
      <c r="C21" t="s">
        <v>53</v>
      </c>
      <c r="D21" s="1">
        <v>4260346270857</v>
      </c>
      <c r="E21" s="5"/>
      <c r="F21" s="5">
        <f t="shared" si="0"/>
        <v>0</v>
      </c>
      <c r="G21" s="5">
        <v>59.9</v>
      </c>
      <c r="H21" s="7">
        <f t="shared" si="1"/>
        <v>80</v>
      </c>
      <c r="I21">
        <v>40</v>
      </c>
      <c r="J21" s="1">
        <v>40</v>
      </c>
    </row>
    <row r="22" spans="1:10" x14ac:dyDescent="0.3">
      <c r="A22" t="s">
        <v>54</v>
      </c>
      <c r="B22" t="s">
        <v>8</v>
      </c>
      <c r="C22" t="s">
        <v>55</v>
      </c>
      <c r="D22" s="1">
        <v>4260346274909</v>
      </c>
      <c r="E22" s="5">
        <v>24.9</v>
      </c>
      <c r="F22" s="5">
        <f t="shared" si="0"/>
        <v>27.39</v>
      </c>
      <c r="G22" s="5">
        <v>49.9</v>
      </c>
      <c r="H22" s="7">
        <f t="shared" si="1"/>
        <v>15</v>
      </c>
      <c r="I22">
        <v>0</v>
      </c>
      <c r="J22" s="1">
        <v>15</v>
      </c>
    </row>
    <row r="23" spans="1:10" x14ac:dyDescent="0.3">
      <c r="A23" t="s">
        <v>56</v>
      </c>
      <c r="B23" t="s">
        <v>57</v>
      </c>
      <c r="C23" t="s">
        <v>58</v>
      </c>
      <c r="D23" s="1">
        <v>4260346271649</v>
      </c>
      <c r="E23" s="5">
        <v>14.9</v>
      </c>
      <c r="F23" s="5">
        <f t="shared" si="0"/>
        <v>16.39</v>
      </c>
      <c r="G23" s="5">
        <v>7.5</v>
      </c>
      <c r="H23" s="7">
        <f t="shared" si="1"/>
        <v>15</v>
      </c>
      <c r="I23">
        <v>10</v>
      </c>
      <c r="J23" s="1">
        <v>5</v>
      </c>
    </row>
    <row r="24" spans="1:10" x14ac:dyDescent="0.3">
      <c r="A24" t="s">
        <v>59</v>
      </c>
      <c r="B24" t="s">
        <v>35</v>
      </c>
      <c r="C24" t="s">
        <v>60</v>
      </c>
      <c r="D24" s="1">
        <v>4260346271625</v>
      </c>
      <c r="E24" s="5">
        <v>14.9</v>
      </c>
      <c r="F24" s="5">
        <f t="shared" si="0"/>
        <v>16.39</v>
      </c>
      <c r="G24" s="5">
        <v>7.5</v>
      </c>
      <c r="H24" s="7">
        <f t="shared" si="1"/>
        <v>15</v>
      </c>
      <c r="I24">
        <v>10</v>
      </c>
      <c r="J24" s="1">
        <v>5</v>
      </c>
    </row>
    <row r="25" spans="1:10" x14ac:dyDescent="0.3">
      <c r="A25" t="s">
        <v>61</v>
      </c>
      <c r="B25" t="s">
        <v>62</v>
      </c>
      <c r="C25" t="s">
        <v>63</v>
      </c>
      <c r="D25" s="1">
        <v>4260346271632</v>
      </c>
      <c r="E25" s="5">
        <v>14.9</v>
      </c>
      <c r="F25" s="5">
        <f t="shared" si="0"/>
        <v>16.39</v>
      </c>
      <c r="G25" s="5">
        <v>7.5</v>
      </c>
      <c r="H25" s="7">
        <f t="shared" si="1"/>
        <v>15</v>
      </c>
      <c r="I25">
        <v>10</v>
      </c>
      <c r="J25" s="1">
        <v>5</v>
      </c>
    </row>
    <row r="26" spans="1:10" x14ac:dyDescent="0.3">
      <c r="A26" t="s">
        <v>64</v>
      </c>
      <c r="B26" t="s">
        <v>65</v>
      </c>
      <c r="C26" t="s">
        <v>66</v>
      </c>
      <c r="D26" s="1">
        <v>4260346271670</v>
      </c>
      <c r="E26" s="5">
        <v>15</v>
      </c>
      <c r="F26" s="5">
        <f t="shared" si="0"/>
        <v>16.5</v>
      </c>
      <c r="G26" s="5">
        <v>29.9</v>
      </c>
      <c r="H26" s="7">
        <f t="shared" si="1"/>
        <v>10</v>
      </c>
      <c r="I26">
        <v>5</v>
      </c>
      <c r="J26" s="1">
        <v>5</v>
      </c>
    </row>
    <row r="27" spans="1:10" x14ac:dyDescent="0.3">
      <c r="A27" t="s">
        <v>67</v>
      </c>
      <c r="B27" t="s">
        <v>68</v>
      </c>
      <c r="C27" t="s">
        <v>69</v>
      </c>
      <c r="D27" s="1">
        <v>4260346275494</v>
      </c>
      <c r="E27" s="5"/>
      <c r="F27" s="5">
        <f t="shared" si="0"/>
        <v>0</v>
      </c>
      <c r="G27" s="5">
        <v>149.9</v>
      </c>
      <c r="H27" s="7">
        <f t="shared" si="1"/>
        <v>35</v>
      </c>
      <c r="I27">
        <v>20</v>
      </c>
      <c r="J27" s="1">
        <v>15</v>
      </c>
    </row>
    <row r="28" spans="1:10" x14ac:dyDescent="0.3">
      <c r="A28" t="s">
        <v>70</v>
      </c>
      <c r="B28" t="s">
        <v>71</v>
      </c>
      <c r="C28" t="s">
        <v>72</v>
      </c>
      <c r="D28" s="1">
        <v>4260346272240</v>
      </c>
      <c r="E28" s="5"/>
      <c r="F28" s="5">
        <f t="shared" si="0"/>
        <v>0</v>
      </c>
      <c r="G28" s="5">
        <v>99.9</v>
      </c>
      <c r="H28" s="7">
        <f t="shared" si="1"/>
        <v>358</v>
      </c>
      <c r="I28">
        <v>158</v>
      </c>
      <c r="J28" s="1">
        <v>200</v>
      </c>
    </row>
    <row r="29" spans="1:10" x14ac:dyDescent="0.3">
      <c r="A29" t="s">
        <v>73</v>
      </c>
      <c r="B29" t="s">
        <v>74</v>
      </c>
      <c r="C29" t="s">
        <v>75</v>
      </c>
      <c r="D29" s="1">
        <v>4260346272813</v>
      </c>
      <c r="E29" s="5">
        <v>19.7</v>
      </c>
      <c r="F29" s="5">
        <f t="shared" si="0"/>
        <v>21.67</v>
      </c>
      <c r="G29" s="5">
        <v>32.9</v>
      </c>
      <c r="H29" s="7">
        <f t="shared" si="1"/>
        <v>10</v>
      </c>
      <c r="I29">
        <v>5</v>
      </c>
      <c r="J29" s="1">
        <v>5</v>
      </c>
    </row>
    <row r="30" spans="1:10" x14ac:dyDescent="0.3">
      <c r="A30" t="s">
        <v>76</v>
      </c>
      <c r="B30" t="s">
        <v>77</v>
      </c>
      <c r="C30" t="s">
        <v>78</v>
      </c>
      <c r="D30" s="1">
        <v>4260346271274</v>
      </c>
      <c r="E30" s="5"/>
      <c r="F30" s="5">
        <f t="shared" si="0"/>
        <v>0</v>
      </c>
      <c r="G30" s="5">
        <v>69.900000000000006</v>
      </c>
      <c r="H30" s="7">
        <f t="shared" si="1"/>
        <v>5</v>
      </c>
      <c r="I30">
        <v>0</v>
      </c>
      <c r="J30" s="1">
        <v>5</v>
      </c>
    </row>
    <row r="31" spans="1:10" x14ac:dyDescent="0.3">
      <c r="A31" s="8"/>
      <c r="H31" s="9">
        <f>SUM(H2:H30)</f>
        <v>2124</v>
      </c>
      <c r="I31" s="9">
        <f>SUM(I2:I30)</f>
        <v>1124</v>
      </c>
      <c r="J31" s="9">
        <f>SUM(J2:J30)</f>
        <v>1000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Einkauf_Bestellung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Balaj-Stössel</dc:creator>
  <cp:lastModifiedBy>Raphael Schlamp</cp:lastModifiedBy>
  <dcterms:created xsi:type="dcterms:W3CDTF">2025-05-19T11:25:10Z</dcterms:created>
  <dcterms:modified xsi:type="dcterms:W3CDTF">2026-01-06T10:21:22Z</dcterms:modified>
</cp:coreProperties>
</file>